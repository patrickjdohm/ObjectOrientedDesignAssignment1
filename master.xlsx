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 Dohm\Documents\ObjectOrientedDesign\ObjectOrientedDesignAssignment1\"/>
    </mc:Choice>
  </mc:AlternateContent>
  <xr:revisionPtr revIDLastSave="0" documentId="13_ncr:1_{D189769D-5A6D-4D7A-B940-53ADCB119BA4}" xr6:coauthVersionLast="47" xr6:coauthVersionMax="47" xr10:uidLastSave="{00000000-0000-0000-0000-000000000000}"/>
  <bookViews>
    <workbookView xWindow="705" yWindow="3405" windowWidth="21600" windowHeight="11295" activeTab="3" xr2:uid="{ED93E4B7-3811-40E9-BE03-49EBF441A888}"/>
  </bookViews>
  <sheets>
    <sheet name="LOC" sheetId="1" r:id="rId1"/>
    <sheet name="WMC" sheetId="2" r:id="rId2"/>
    <sheet name="LCOM" sheetId="3" r:id="rId3"/>
    <sheet name="Maintainability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</calcChain>
</file>

<file path=xl/sharedStrings.xml><?xml version="1.0" encoding="utf-8"?>
<sst xmlns="http://schemas.openxmlformats.org/spreadsheetml/2006/main" count="28" uniqueCount="11">
  <si>
    <t>Project</t>
  </si>
  <si>
    <t xml:space="preserve">Average LOC </t>
  </si>
  <si>
    <t>Graal</t>
  </si>
  <si>
    <t>Ghidra</t>
  </si>
  <si>
    <t>Guava</t>
  </si>
  <si>
    <t>Undertow</t>
  </si>
  <si>
    <t>Error-Prone</t>
  </si>
  <si>
    <t>Project Name</t>
  </si>
  <si>
    <t>WMC</t>
  </si>
  <si>
    <t>LCOM</t>
  </si>
  <si>
    <t>WMC + 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</si>
</sst>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LOC per Class By Project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LOC!$B$1</c:f>
              <c:strCache>
                <c:ptCount val="1"/>
                <c:pt idx="0">
                  <c:v>Average LOC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LOC!$A$2:$A$6</c:f>
              <c:strCache>
                <c:ptCount val="5"/>
                <c:pt idx="0">
                  <c:v>Graal</c:v>
                </c:pt>
                <c:pt idx="1">
                  <c:v>Ghidra</c:v>
                </c:pt>
                <c:pt idx="2">
                  <c:v>Guava</c:v>
                </c:pt>
                <c:pt idx="3">
                  <c:v>Undertow</c:v>
                </c:pt>
                <c:pt idx="4">
                  <c:v>Error-Prone</c:v>
                </c:pt>
              </c:strCache>
            </c:strRef>
          </c:cat>
          <c:val>
            <c:numRef>
              <c:f>LOC!$B$2:$B$6</c:f>
              <c:numCache>
                <c:formatCode>General</c:formatCode>
                <c:ptCount val="5"/>
                <c:pt idx="0">
                  <c:v>53.720640000000003</c:v>
                </c:pt>
                <c:pt idx="1">
                  <c:v>82.344629999999995</c:v>
                </c:pt>
                <c:pt idx="2">
                  <c:v>58.528869999999998</c:v>
                </c:pt>
                <c:pt idx="3">
                  <c:v>56.110810000000001</c:v>
                </c:pt>
                <c:pt idx="4">
                  <c:v>34.915089999999999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2-40B9-8430-B268AF064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764975"/>
        <c:axId val="1619993231"/>
      </c:barChart>
      <c:catAx>
        <c:axId val="160776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993231"/>
        <c:crosses val="autoZero"/>
        <c:auto val="1"/>
        <c:lblAlgn val="ctr"/>
        <c:lblOffset val="100"/>
        <c:noMultiLvlLbl val="0"/>
      </c:catAx>
      <c:valAx>
        <c:axId val="161999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6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WMC per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WMC!$B$1</c:f>
              <c:strCache>
                <c:ptCount val="1"/>
                <c:pt idx="0">
                  <c:v>WMC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WMC!$A$2:$A$6</c:f>
              <c:strCache>
                <c:ptCount val="5"/>
                <c:pt idx="0">
                  <c:v>Graal</c:v>
                </c:pt>
                <c:pt idx="1">
                  <c:v>Ghidra</c:v>
                </c:pt>
                <c:pt idx="2">
                  <c:v>Guava</c:v>
                </c:pt>
                <c:pt idx="3">
                  <c:v>Undertow</c:v>
                </c:pt>
                <c:pt idx="4">
                  <c:v>Error-Prone</c:v>
                </c:pt>
              </c:strCache>
            </c:strRef>
          </c:cat>
          <c:val>
            <c:numRef>
              <c:f>WMC!$B$2:$B$6</c:f>
              <c:numCache>
                <c:formatCode>General</c:formatCode>
                <c:ptCount val="5"/>
                <c:pt idx="0">
                  <c:v>8.5730000000000004</c:v>
                </c:pt>
                <c:pt idx="1">
                  <c:v>15.478</c:v>
                </c:pt>
                <c:pt idx="2">
                  <c:v>11.238</c:v>
                </c:pt>
                <c:pt idx="3">
                  <c:v>10.391999999999999</c:v>
                </c:pt>
                <c:pt idx="4">
                  <c:v>8.5269999999999992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6-488F-BDCC-847446A3B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919616"/>
        <c:axId val="1129918656"/>
      </c:barChart>
      <c:catAx>
        <c:axId val="11299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918656"/>
        <c:crosses val="autoZero"/>
        <c:auto val="1"/>
        <c:lblAlgn val="ctr"/>
        <c:lblOffset val="100"/>
        <c:noMultiLvlLbl val="0"/>
      </c:catAx>
      <c:valAx>
        <c:axId val="112991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91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LCOM per Class</a:t>
            </a:r>
            <a:r>
              <a:rPr lang="en-US" baseline="0"/>
              <a:t> by Project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LCOM!$B$1</c:f>
              <c:strCache>
                <c:ptCount val="1"/>
                <c:pt idx="0">
                  <c:v>LCOM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LCOM!$A$2:$A$6</c:f>
              <c:strCache>
                <c:ptCount val="5"/>
                <c:pt idx="0">
                  <c:v>Graal</c:v>
                </c:pt>
                <c:pt idx="1">
                  <c:v>Ghidra</c:v>
                </c:pt>
                <c:pt idx="2">
                  <c:v>Guava</c:v>
                </c:pt>
                <c:pt idx="3">
                  <c:v>Undertow</c:v>
                </c:pt>
                <c:pt idx="4">
                  <c:v>Error-Prone</c:v>
                </c:pt>
              </c:strCache>
            </c:strRef>
          </c:cat>
          <c:val>
            <c:numRef>
              <c:f>LCOM!$B$2:$B$6</c:f>
              <c:numCache>
                <c:formatCode>General</c:formatCode>
                <c:ptCount val="5"/>
                <c:pt idx="0">
                  <c:v>49.09</c:v>
                </c:pt>
                <c:pt idx="1">
                  <c:v>180.47</c:v>
                </c:pt>
                <c:pt idx="2">
                  <c:v>45.518000000000001</c:v>
                </c:pt>
                <c:pt idx="3">
                  <c:v>34.311999999999998</c:v>
                </c:pt>
                <c:pt idx="4">
                  <c:v>14.551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1-4C25-A65A-B091F6ABC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680944"/>
        <c:axId val="1725696304"/>
      </c:barChart>
      <c:catAx>
        <c:axId val="172568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96304"/>
        <c:crosses val="autoZero"/>
        <c:auto val="1"/>
        <c:lblAlgn val="ctr"/>
        <c:lblOffset val="100"/>
        <c:noMultiLvlLbl val="0"/>
      </c:catAx>
      <c:valAx>
        <c:axId val="172569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8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6</xdr:row>
      <xdr:rowOff>52387</xdr:rowOff>
    </xdr:from>
    <xdr:to>
      <xdr:col>7</xdr:col>
      <xdr:colOff>95250</xdr:colOff>
      <xdr:row>20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76B4AE-7E47-87D3-FE12-4A9D371AA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6</xdr:row>
      <xdr:rowOff>42862</xdr:rowOff>
    </xdr:from>
    <xdr:to>
      <xdr:col>7</xdr:col>
      <xdr:colOff>0</xdr:colOff>
      <xdr:row>20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4D9B9-07C2-B01E-49BC-7D3E9770D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</xdr:colOff>
      <xdr:row>4</xdr:row>
      <xdr:rowOff>14287</xdr:rowOff>
    </xdr:from>
    <xdr:to>
      <xdr:col>11</xdr:col>
      <xdr:colOff>385762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34DF6-F4DD-035D-2945-5510E154A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BB884-6992-4C8E-8AB9-9B17A8A226FE}" name="Table1" displayName="Table1" ref="A1:B6" totalsRowShown="0">
  <autoFilter ref="A1:B6" xr:uid="{AB2BB884-6992-4C8E-8AB9-9B17A8A226FE}"/>
  <tableColumns count="2">
    <tableColumn id="1" xr3:uid="{3D86195B-3853-4249-A0FF-A69140C597C3}" name="Project"/>
    <tableColumn id="2" xr3:uid="{A6F990EB-DDBE-4CA3-910D-A65034ECD51B}" name="Average LOC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E12D3C-03F7-444F-B37E-D3AF2D152148}" name="Table3" displayName="Table3" ref="A1:B6" totalsRowShown="0">
  <autoFilter ref="A1:B6" xr:uid="{F9E12D3C-03F7-444F-B37E-D3AF2D152148}"/>
  <tableColumns count="2">
    <tableColumn id="1" xr3:uid="{07D633B2-6DD4-458A-AAA1-C4C43766542B}" name="Project Name"/>
    <tableColumn id="2" xr3:uid="{78728833-5D0A-437B-9AD7-10B461F5E510}" name="WM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00ACA4-648B-4BD4-9F7D-32EDB2871093}" name="Table2" displayName="Table2" ref="A1:B6" totalsRowShown="0">
  <autoFilter ref="A1:B6" xr:uid="{D300ACA4-648B-4BD4-9F7D-32EDB2871093}"/>
  <tableColumns count="2">
    <tableColumn id="1" xr3:uid="{D35DE2C6-A98D-4FC5-91F4-EC13972D0517}" name="Project Name"/>
    <tableColumn id="2" xr3:uid="{8F9A7A48-12A0-44C9-BDA8-C74939C48FEF}" name="LCO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242128-0FF9-4DD5-9CAD-37F840B37A3F}" name="Table4" displayName="Table4" ref="A1:B6" totalsRowShown="0">
  <autoFilter ref="A1:B6" xr:uid="{6C242128-0FF9-4DD5-9CAD-37F840B37A3F}"/>
  <tableColumns count="2">
    <tableColumn id="1" xr3:uid="{7D73C423-6319-4B76-9E07-8E9C2CD196F3}" name="Project"/>
    <tableColumn id="2" xr3:uid="{E3AB71D7-2407-4D49-9C8F-DACC2111D0CC}" name="WMC + LCOM" dataDxfId="0">
      <calculatedColumnFormula>Table3[[#This Row],[WMC]]+Table2[[#This Row],[LCOM]]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8A52-8A3E-4138-8F9B-782B591EC72B}">
  <dimension ref="A1:B6"/>
  <sheetViews>
    <sheetView workbookViewId="0">
      <selection activeCell="B6" sqref="A2:B6"/>
    </sheetView>
  </sheetViews>
  <sheetFormatPr defaultRowHeight="15" x14ac:dyDescent="0.25"/>
  <cols>
    <col min="1" max="1" width="9.28515625" customWidth="1"/>
    <col min="2" max="2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53.720640000000003</v>
      </c>
    </row>
    <row r="3" spans="1:2" x14ac:dyDescent="0.25">
      <c r="A3" t="s">
        <v>3</v>
      </c>
      <c r="B3">
        <v>82.344629999999995</v>
      </c>
    </row>
    <row r="4" spans="1:2" x14ac:dyDescent="0.25">
      <c r="A4" t="s">
        <v>4</v>
      </c>
      <c r="B4">
        <v>58.528869999999998</v>
      </c>
    </row>
    <row r="5" spans="1:2" x14ac:dyDescent="0.25">
      <c r="A5" t="s">
        <v>5</v>
      </c>
      <c r="B5">
        <v>56.110810000000001</v>
      </c>
    </row>
    <row r="6" spans="1:2" x14ac:dyDescent="0.25">
      <c r="A6" t="s">
        <v>6</v>
      </c>
      <c r="B6">
        <v>34.915089999999999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DE46-2C1C-47A2-B64D-F30D12345038}">
  <dimension ref="A1:B6"/>
  <sheetViews>
    <sheetView workbookViewId="0">
      <selection activeCell="A6" sqref="A2:A6"/>
    </sheetView>
  </sheetViews>
  <sheetFormatPr defaultRowHeight="15" x14ac:dyDescent="0.25"/>
  <cols>
    <col min="1" max="1" width="15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2</v>
      </c>
      <c r="B2">
        <v>8.5730000000000004</v>
      </c>
    </row>
    <row r="3" spans="1:2" x14ac:dyDescent="0.25">
      <c r="A3" t="s">
        <v>3</v>
      </c>
      <c r="B3">
        <v>15.478</v>
      </c>
    </row>
    <row r="4" spans="1:2" x14ac:dyDescent="0.25">
      <c r="A4" t="s">
        <v>4</v>
      </c>
      <c r="B4">
        <v>11.238</v>
      </c>
    </row>
    <row r="5" spans="1:2" x14ac:dyDescent="0.25">
      <c r="A5" t="s">
        <v>5</v>
      </c>
      <c r="B5">
        <v>10.391999999999999</v>
      </c>
    </row>
    <row r="6" spans="1:2" x14ac:dyDescent="0.25">
      <c r="A6" t="s">
        <v>6</v>
      </c>
      <c r="B6">
        <v>8.5269999999999992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15C5-72F4-4A27-8DA6-4851C8A2441A}">
  <dimension ref="A1:B6"/>
  <sheetViews>
    <sheetView workbookViewId="0">
      <selection activeCell="A6" sqref="A2:A6"/>
    </sheetView>
  </sheetViews>
  <sheetFormatPr defaultRowHeight="15" x14ac:dyDescent="0.25"/>
  <cols>
    <col min="1" max="1" width="15" customWidth="1"/>
  </cols>
  <sheetData>
    <row r="1" spans="1:2" x14ac:dyDescent="0.25">
      <c r="A1" t="s">
        <v>7</v>
      </c>
      <c r="B1" t="s">
        <v>9</v>
      </c>
    </row>
    <row r="2" spans="1:2" x14ac:dyDescent="0.25">
      <c r="A2" t="s">
        <v>2</v>
      </c>
      <c r="B2">
        <v>49.09</v>
      </c>
    </row>
    <row r="3" spans="1:2" x14ac:dyDescent="0.25">
      <c r="A3" t="s">
        <v>3</v>
      </c>
      <c r="B3">
        <v>180.47</v>
      </c>
    </row>
    <row r="4" spans="1:2" x14ac:dyDescent="0.25">
      <c r="A4" t="s">
        <v>4</v>
      </c>
      <c r="B4">
        <v>45.518000000000001</v>
      </c>
    </row>
    <row r="5" spans="1:2" x14ac:dyDescent="0.25">
      <c r="A5" t="s">
        <v>5</v>
      </c>
      <c r="B5">
        <v>34.311999999999998</v>
      </c>
    </row>
    <row r="6" spans="1:2" x14ac:dyDescent="0.25">
      <c r="A6" t="s">
        <v>6</v>
      </c>
      <c r="B6">
        <v>14.551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2766-B747-4B7D-9541-498169CA3491}">
  <dimension ref="A1:B6"/>
  <sheetViews>
    <sheetView tabSelected="1" workbookViewId="0">
      <selection activeCell="D10" sqref="D10"/>
    </sheetView>
  </sheetViews>
  <sheetFormatPr defaultRowHeight="15" x14ac:dyDescent="0.25"/>
  <cols>
    <col min="1" max="1" width="9.28515625" customWidth="1"/>
    <col min="2" max="2" width="14.42578125" customWidth="1"/>
  </cols>
  <sheetData>
    <row r="1" spans="1:2" x14ac:dyDescent="0.25">
      <c r="A1" t="s">
        <v>0</v>
      </c>
      <c r="B1" t="s">
        <v>10</v>
      </c>
    </row>
    <row r="2" spans="1:2" x14ac:dyDescent="0.25">
      <c r="A2" t="s">
        <v>2</v>
      </c>
      <c r="B2">
        <f>Table3[[#This Row],[WMC]]+Table2[[#This Row],[LCOM]]</f>
        <v>57.663000000000004</v>
      </c>
    </row>
    <row r="3" spans="1:2" x14ac:dyDescent="0.25">
      <c r="A3" t="s">
        <v>3</v>
      </c>
      <c r="B3">
        <f>Table3[[#This Row],[WMC]]+Table2[[#This Row],[LCOM]]</f>
        <v>195.94800000000001</v>
      </c>
    </row>
    <row r="4" spans="1:2" x14ac:dyDescent="0.25">
      <c r="A4" t="s">
        <v>4</v>
      </c>
      <c r="B4">
        <f>Table3[[#This Row],[WMC]]+Table2[[#This Row],[LCOM]]</f>
        <v>56.756</v>
      </c>
    </row>
    <row r="5" spans="1:2" x14ac:dyDescent="0.25">
      <c r="A5" t="s">
        <v>5</v>
      </c>
      <c r="B5">
        <f>Table3[[#This Row],[WMC]]+Table2[[#This Row],[LCOM]]</f>
        <v>44.703999999999994</v>
      </c>
    </row>
    <row r="6" spans="1:2" x14ac:dyDescent="0.25">
      <c r="A6" t="s">
        <v>6</v>
      </c>
      <c r="B6">
        <f>Table3[[#This Row],[WMC]]+Table2[[#This Row],[LCOM]]</f>
        <v>23.077999999999999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</vt:lpstr>
      <vt:lpstr>WMC</vt:lpstr>
      <vt:lpstr>LCOM</vt:lpstr>
      <vt:lpstr>Maintainability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dohm, patrick j.</dc:creator>
  <cp:lastModifiedBy>dohm, patrick j.</cp:lastModifiedBy>
  <dcterms:created xsi:type="dcterms:W3CDTF">2026-02-14T20:13:57Z</dcterms:created>
  <dcterms:modified xsi:type="dcterms:W3CDTF">2026-02-14T21:03:05Z</dcterms:modified>
</cp:coreProperties>
</file>